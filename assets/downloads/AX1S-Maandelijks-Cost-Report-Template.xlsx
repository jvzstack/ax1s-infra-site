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st Repor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<sst xmlns="http://schemas.openxmlformats.org/spreadsheetml/2006/main" count="20" uniqueCount="20">
  <si>
    <t xml:space="preserve">AX1S Infra — Maandelijks Cost Report Sjabloon</t>
  </si>
  <si>
    <t xml:space="preserve">Vul per team de kosten van vorige en deze maand in (blauwe cellen). Verandering (€/%) en de totalen berekenen zichzelf.</t>
  </si>
  <si>
    <t xml:space="preserve">Rapportmaand:</t>
  </si>
  <si>
    <t xml:space="preserve">juli 2026</t>
  </si>
  <si>
    <t xml:space="preserve">Team</t>
  </si>
  <si>
    <t xml:space="preserve">Vorige maand (€)</t>
  </si>
  <si>
    <t xml:space="preserve">Deze maand (€)</t>
  </si>
  <si>
    <t xml:space="preserve">Verandering (€)</t>
  </si>
  <si>
    <t xml:space="preserve">Verandering (%)</t>
  </si>
  <si>
    <t xml:space="preserve">Top kostenpost</t>
  </si>
  <si>
    <t xml:space="preserve">Platform</t>
  </si>
  <si>
    <t xml:space="preserve">compute (rightsizing)</t>
  </si>
  <si>
    <t xml:space="preserve">Growth</t>
  </si>
  <si>
    <t xml:space="preserve">SaaS-licenties</t>
  </si>
  <si>
    <t xml:space="preserve">Data</t>
  </si>
  <si>
    <t xml:space="preserve">opslag</t>
  </si>
  <si>
    <t xml:space="preserve">AI/ML</t>
  </si>
  <si>
    <t xml:space="preserve">model-inference</t>
  </si>
  <si>
    <t xml:space="preserve">Totaal</t>
  </si>
  <si>
    <t xml:space="preserve">Blauwe cellen zijn voorbeelddata — vervang met jullie eigen cijfers. Zwarte cellen berekenen zichzelf.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</si>
</sst>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€#,##0;[RED]&quot;-€&quot;#,##0"/>
    <numFmt numFmtId="166" formatCode="0.0%;[RED]\-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0D16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0070F3"/>
        <bgColor rgb="FF3366FF"/>
      </patternFill>
    </fill>
    <fill>
      <patternFill patternType="solid">
        <fgColor rgb="FFEAF1FF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AF1FF"/>
      <rgbColor rgb="FF660066"/>
      <rgbColor rgb="FFFF8080"/>
      <rgbColor rgb="FF0070F3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B0D16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8"/>
    <col collapsed="false" customWidth="true" hidden="false" outlineLevel="0" max="5" min="3" style="1" width="16"/>
    <col collapsed="false" customWidth="true" hidden="false" outlineLevel="0" max="6" min="6" style="1" width="26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25.5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15" hidden="false" customHeight="true" outlineLevel="0" collapsed="false">
      <c r="A3" s="4" t="s">
        <v>2</v>
      </c>
      <c r="B3" s="5" t="s">
        <v>3</v>
      </c>
    </row>
    <row r="5" customFormat="false" ht="26.25" hidden="false" customHeight="true" outlineLevel="0" collapsed="false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</row>
    <row r="6" customFormat="false" ht="15" hidden="false" customHeight="true" outlineLevel="0" collapsed="false">
      <c r="A6" s="7" t="s">
        <v>10</v>
      </c>
      <c r="B6" s="8" t="n">
        <v>18400</v>
      </c>
      <c r="C6" s="8" t="n">
        <v>16200</v>
      </c>
      <c r="D6" s="9" t="n">
        <f aca="false">C6-B6</f>
        <v>-2200</v>
      </c>
      <c r="E6" s="10" t="n">
        <f aca="false">IFERROR((C6-B6)/B6,0)</f>
        <v>-0.119565217391304</v>
      </c>
      <c r="F6" s="7" t="s">
        <v>11</v>
      </c>
    </row>
    <row r="7" customFormat="false" ht="15" hidden="false" customHeight="true" outlineLevel="0" collapsed="false">
      <c r="A7" s="7" t="s">
        <v>12</v>
      </c>
      <c r="B7" s="8" t="n">
        <v>9200</v>
      </c>
      <c r="C7" s="8" t="n">
        <v>10100</v>
      </c>
      <c r="D7" s="9" t="n">
        <f aca="false">C7-B7</f>
        <v>900</v>
      </c>
      <c r="E7" s="10" t="n">
        <f aca="false">IFERROR((C7-B7)/B7,0)</f>
        <v>0.0978260869565217</v>
      </c>
      <c r="F7" s="7" t="s">
        <v>13</v>
      </c>
    </row>
    <row r="8" customFormat="false" ht="15" hidden="false" customHeight="true" outlineLevel="0" collapsed="false">
      <c r="A8" s="7" t="s">
        <v>14</v>
      </c>
      <c r="B8" s="8" t="n">
        <v>12600</v>
      </c>
      <c r="C8" s="8" t="n">
        <v>12050</v>
      </c>
      <c r="D8" s="9" t="n">
        <f aca="false">C8-B8</f>
        <v>-550</v>
      </c>
      <c r="E8" s="10" t="n">
        <f aca="false">IFERROR((C8-B8)/B8,0)</f>
        <v>-0.0436507936507937</v>
      </c>
      <c r="F8" s="7" t="s">
        <v>15</v>
      </c>
    </row>
    <row r="9" customFormat="false" ht="15" hidden="false" customHeight="true" outlineLevel="0" collapsed="false">
      <c r="A9" s="7" t="s">
        <v>16</v>
      </c>
      <c r="B9" s="8" t="n">
        <v>7300</v>
      </c>
      <c r="C9" s="8" t="n">
        <v>9800</v>
      </c>
      <c r="D9" s="9" t="n">
        <f aca="false">C9-B9</f>
        <v>2500</v>
      </c>
      <c r="E9" s="10" t="n">
        <f aca="false">IFERROR((C9-B9)/B9,0)</f>
        <v>0.342465753424658</v>
      </c>
      <c r="F9" s="7" t="s">
        <v>17</v>
      </c>
    </row>
    <row r="10" customFormat="false" ht="15" hidden="false" customHeight="true" outlineLevel="0" collapsed="false">
      <c r="A10" s="11"/>
      <c r="B10" s="11"/>
      <c r="C10" s="11"/>
      <c r="D10" s="12" t="str">
        <f aca="false">IF(AND(B10="",C10=""),"",C10-B10)</f>
        <v/>
      </c>
      <c r="E10" s="13" t="str">
        <f aca="false">IF(OR(B10="",B10=0),"",(C10-B10)/B10)</f>
        <v/>
      </c>
      <c r="F10" s="11"/>
    </row>
    <row r="11" customFormat="false" ht="15" hidden="false" customHeight="true" outlineLevel="0" collapsed="false">
      <c r="A11" s="11"/>
      <c r="B11" s="11"/>
      <c r="C11" s="11"/>
      <c r="D11" s="12" t="str">
        <f aca="false">IF(AND(B11="",C11=""),"",C11-B11)</f>
        <v/>
      </c>
      <c r="E11" s="13" t="str">
        <f aca="false">IF(OR(B11="",B11=0),"",(C11-B11)/B11)</f>
        <v/>
      </c>
      <c r="F11" s="11"/>
    </row>
    <row r="12" customFormat="false" ht="15" hidden="false" customHeight="true" outlineLevel="0" collapsed="false">
      <c r="A12" s="11"/>
      <c r="B12" s="11"/>
      <c r="C12" s="11"/>
      <c r="D12" s="12" t="str">
        <f aca="false">IF(AND(B12="",C12=""),"",C12-B12)</f>
        <v/>
      </c>
      <c r="E12" s="13" t="str">
        <f aca="false">IF(OR(B12="",B12=0),"",(C12-B12)/B12)</f>
        <v/>
      </c>
      <c r="F12" s="11"/>
    </row>
    <row r="13" customFormat="false" ht="15" hidden="false" customHeight="true" outlineLevel="0" collapsed="false">
      <c r="A13" s="11"/>
      <c r="B13" s="11"/>
      <c r="C13" s="11"/>
      <c r="D13" s="12" t="str">
        <f aca="false">IF(AND(B13="",C13=""),"",C13-B13)</f>
        <v/>
      </c>
      <c r="E13" s="13" t="str">
        <f aca="false">IF(OR(B13="",B13=0),"",(C13-B13)/B13)</f>
        <v/>
      </c>
      <c r="F13" s="11"/>
    </row>
    <row r="14" customFormat="false" ht="15" hidden="false" customHeight="true" outlineLevel="0" collapsed="false">
      <c r="A14" s="14" t="s">
        <v>18</v>
      </c>
      <c r="B14" s="15" t="n">
        <f aca="false">SUM(B6:B13)</f>
        <v>47500</v>
      </c>
      <c r="C14" s="15" t="n">
        <f aca="false">SUM(C6:C13)</f>
        <v>48150</v>
      </c>
      <c r="D14" s="15" t="n">
        <f aca="false">C14-B14</f>
        <v>650</v>
      </c>
      <c r="E14" s="16" t="n">
        <f aca="false">IFERROR((C14-B14)/B14,0)</f>
        <v>0.0136842105263158</v>
      </c>
      <c r="F14" s="17"/>
    </row>
    <row r="16" customFormat="false" ht="15" hidden="false" customHeight="true" outlineLevel="0" collapsed="false">
      <c r="A16" s="18" t="s">
        <v>19</v>
      </c>
      <c r="B16" s="18"/>
      <c r="C16" s="18"/>
      <c r="D16" s="18"/>
      <c r="E16" s="18"/>
      <c r="F16" s="18"/>
    </row>
  </sheetData>
  <mergeCells count="3">
    <mergeCell ref="A1:F1"/>
    <mergeCell ref="A2:F2"/>
    <mergeCell ref="A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2026-07-31T11:49:33Z</dcterms:created>
  <dc:creator>openpyxl</dc:creator>
  <dc:description/>
  <dc:language>en-US</dc:language>
  <cp:lastModifiedBy/>
  <dcterms:modified xsi:type="dcterms:W3CDTF">2026-07-31T11:51:20Z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